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raming" sheetId="2" state="visible" r:id="rId4"/>
    <sheet name="Drywall" sheetId="3" state="visible" r:id="rId5"/>
    <sheet name="Floor Tile" sheetId="4" state="visible" r:id="rId6"/>
    <sheet name="Ceiling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<sst xmlns="http://schemas.openxmlformats.org/spreadsheetml/2006/main" count="296" uniqueCount="181">
  <si>
    <t xml:space="preserve">HARAZ COFFEE - 1776 E. Jefferson St #112, Rockville, MD  |  PROJECT INPUTS</t>
  </si>
  <si>
    <t xml:space="preserve">INSTRUCTIONS: Yellow cells are the only ones you need to edit. Enter real dimensions pulled from the CAD file or a field tape measure. Every other tab recalculates automatically.</t>
  </si>
  <si>
    <t xml:space="preserve">PROJECT TOTALS</t>
  </si>
  <si>
    <t xml:space="preserve">Item</t>
  </si>
  <si>
    <t xml:space="preserve">Value</t>
  </si>
  <si>
    <t xml:space="preserve">Unit</t>
  </si>
  <si>
    <t xml:space="preserve">Source / Notes</t>
  </si>
  <si>
    <t xml:space="preserve">Total tenant square footage</t>
  </si>
  <si>
    <t xml:space="preserve">SF</t>
  </si>
  <si>
    <t xml:space="preserve">Per Cover Sheet A100 (T+T Engineers, Proj #2024046)</t>
  </si>
  <si>
    <t xml:space="preserve">Wall height (floor to deck/ceiling)</t>
  </si>
  <si>
    <t xml:space="preserve">FT</t>
  </si>
  <si>
    <t xml:space="preserve">PLACEHOLDER - verify against A101/A103 section details. NOTE: takeoff assumes 10' precut studs and 4x10 drywall sheets - if wall height exceeds 10', studs/sheets will need splicing and this workbook's per-sheet/per-stud coverage assumption no longer holds.</t>
  </si>
  <si>
    <t xml:space="preserve">NEW PARTITION WALLS (Type G / D per Partition Schedule, A103)</t>
  </si>
  <si>
    <t xml:space="preserve">Wall / Room Reference</t>
  </si>
  <si>
    <t xml:space="preserve">Partition Type (G/D/L)</t>
  </si>
  <si>
    <t xml:space="preserve">Length (LF)</t>
  </si>
  <si>
    <t xml:space="preserve">Both Sides Drywall? (Y/N)</t>
  </si>
  <si>
    <t xml:space="preserve">Notes</t>
  </si>
  <si>
    <t xml:space="preserve">Restroom #1 partition</t>
  </si>
  <si>
    <t xml:space="preserve">D</t>
  </si>
  <si>
    <t xml:space="preserve">Y</t>
  </si>
  <si>
    <t xml:space="preserve">PLACEHOLDER - measure off A102/A103</t>
  </si>
  <si>
    <t xml:space="preserve">Restroom #2 partition</t>
  </si>
  <si>
    <t xml:space="preserve">PLACEHOLDER</t>
  </si>
  <si>
    <t xml:space="preserve">Restroom #3 partition</t>
  </si>
  <si>
    <t xml:space="preserve">Restroom #4 partition</t>
  </si>
  <si>
    <t xml:space="preserve">Meeting room partition</t>
  </si>
  <si>
    <t xml:space="preserve">G</t>
  </si>
  <si>
    <t xml:space="preserve">Praying room partition</t>
  </si>
  <si>
    <t xml:space="preserve">Dry storage partition</t>
  </si>
  <si>
    <t xml:space="preserve">Kitchen demising wall</t>
  </si>
  <si>
    <t xml:space="preserve">PLACEHOLDER - wet-side needs Wonderboard, see Wet Areas tab</t>
  </si>
  <si>
    <t xml:space="preserve">Storage cabinets partition</t>
  </si>
  <si>
    <t xml:space="preserve">Service area / POS partition</t>
  </si>
  <si>
    <t xml:space="preserve">TOTAL NEW PARTITION LF</t>
  </si>
  <si>
    <t xml:space="preserve">WET AREAS - Wonderboard / Waterproof Backer (per Landlord Comments)</t>
  </si>
  <si>
    <t xml:space="preserve">Wet Area</t>
  </si>
  <si>
    <t xml:space="preserve">Wall Length Needing Backer (LF)</t>
  </si>
  <si>
    <t xml:space="preserve">Wall Height (FT)</t>
  </si>
  <si>
    <t xml:space="preserve">Restroom #1 walls</t>
  </si>
  <si>
    <t xml:space="preserve">Per landlord letter: waterproof membrane 4" up slab + Wonderboard on demising/partition walls</t>
  </si>
  <si>
    <t xml:space="preserve">Restroom #2 walls</t>
  </si>
  <si>
    <t xml:space="preserve">Same requirement</t>
  </si>
  <si>
    <t xml:space="preserve">Restroom #3 walls</t>
  </si>
  <si>
    <t xml:space="preserve">Restroom #4 walls</t>
  </si>
  <si>
    <t xml:space="preserve">Kitchen wet wall (dish/prep sinks)</t>
  </si>
  <si>
    <t xml:space="preserve">PLACEHOLDER - verify against P002/P003 fixture locations</t>
  </si>
  <si>
    <t xml:space="preserve">CEILING ZONES (per A104 Ceiling Plan + Finish Schedule A102)</t>
  </si>
  <si>
    <t xml:space="preserve">Ceiling Zone</t>
  </si>
  <si>
    <t xml:space="preserve">Type (Suspended ACT / Open / Genesis PVC Washable)</t>
  </si>
  <si>
    <t xml:space="preserve">Area (SF)</t>
  </si>
  <si>
    <t xml:space="preserve">Seating / dining area</t>
  </si>
  <si>
    <t xml:space="preserve">Suspended ACT</t>
  </si>
  <si>
    <t xml:space="preserve">PLACEHOLDER - measure per A104</t>
  </si>
  <si>
    <t xml:space="preserve">Meeting room</t>
  </si>
  <si>
    <t xml:space="preserve">Praying room</t>
  </si>
  <si>
    <t xml:space="preserve">Restrooms (1-4)</t>
  </si>
  <si>
    <t xml:space="preserve">Genesis PVC Washable</t>
  </si>
  <si>
    <t xml:space="preserve">Commercial grade, nonabsorbent, washable per ceiling notes</t>
  </si>
  <si>
    <t xml:space="preserve">Kitchen / food prep</t>
  </si>
  <si>
    <t xml:space="preserve">Same - required by ceiling plan general notes</t>
  </si>
  <si>
    <t xml:space="preserve">Rear / BOH open ceiling zone</t>
  </si>
  <si>
    <t xml:space="preserve">Open Ceiling (no grid)</t>
  </si>
  <si>
    <t xml:space="preserve">Per A104 - explicitly marked OPEN CEILING, exclude from grid takeoff</t>
  </si>
  <si>
    <t xml:space="preserve">FLOOR TILE ZONES (per Finish Schedule A102)</t>
  </si>
  <si>
    <t xml:space="preserve">Room / Finish Tag</t>
  </si>
  <si>
    <t xml:space="preserve">Tile Type</t>
  </si>
  <si>
    <t xml:space="preserve">101 - Seating/dining</t>
  </si>
  <si>
    <t xml:space="preserve">Ceramic tile</t>
  </si>
  <si>
    <t xml:space="preserve">PLACEHOLDER - per Finish Schedule tag 101</t>
  </si>
  <si>
    <t xml:space="preserve">102 - Suspended clg area</t>
  </si>
  <si>
    <t xml:space="preserve">PLACEHOLDER - tag 102</t>
  </si>
  <si>
    <t xml:space="preserve">103 - Kitchen</t>
  </si>
  <si>
    <t xml:space="preserve">8x8 Quarry tile</t>
  </si>
  <si>
    <t xml:space="preserve">Tag 103 - quarry tile + FRP wall panel at kitchen U.N.O.</t>
  </si>
  <si>
    <t xml:space="preserve">104 - Misc / restrooms approach</t>
  </si>
  <si>
    <t xml:space="preserve">Ceramic tile (2x4 CLG tile floor)</t>
  </si>
  <si>
    <t xml:space="preserve">PLACEHOLDER - tag 104</t>
  </si>
  <si>
    <t xml:space="preserve">FRAMING TAKEOFF (Partition Schedule, A103)</t>
  </si>
  <si>
    <t xml:space="preserve">Basis / Formula</t>
  </si>
  <si>
    <t xml:space="preserve">Quantity</t>
  </si>
  <si>
    <t xml:space="preserve">Total new partition wall length</t>
  </si>
  <si>
    <t xml:space="preserve">LF</t>
  </si>
  <si>
    <t xml:space="preserve">Sum of all rows in Inputs &gt; New Partition Walls</t>
  </si>
  <si>
    <t xml:space="preserve">3-5/8" MTL studs, 10' precut, @ 16" o.c. (Type G/D)</t>
  </si>
  <si>
    <t xml:space="preserve">EA</t>
  </si>
  <si>
    <t xml:space="preserve">1 stud per 16" o.c. + 10% waste/corners/jambs. 10' precut length - covers walls up to 10' high in one piece (no splicing needed at 9' wall height)</t>
  </si>
  <si>
    <t xml:space="preserve">Top track (3-5/8")</t>
  </si>
  <si>
    <t xml:space="preserve">1x wall length</t>
  </si>
  <si>
    <t xml:space="preserve">Bottom track (3-5/8")</t>
  </si>
  <si>
    <t xml:space="preserve">Sound insulation batts (Type D partitions only)</t>
  </si>
  <si>
    <t xml:space="preserve">TBD - field verify</t>
  </si>
  <si>
    <t xml:space="preserve">Batt insulation required at Type D (restroom/sound-rated) partitions per schedule - filter Type D rows in Inputs tab and sum manually</t>
  </si>
  <si>
    <t xml:space="preserve">Deflection track at deck (Type G, per partition head detail)</t>
  </si>
  <si>
    <t xml:space="preserve">Per Standards-Partition Head detail, A103</t>
  </si>
  <si>
    <t xml:space="preserve">DRYWALL TAKEOFF</t>
  </si>
  <si>
    <t xml:space="preserve">Formula</t>
  </si>
  <si>
    <t xml:space="preserve">Gypsum board SF (both sides of all partitions)</t>
  </si>
  <si>
    <t xml:space="preserve">Partition LF x wall height x 2 sides</t>
  </si>
  <si>
    <t xml:space="preserve">5/8" gyp bd - 4x10 sheets needed (incl. 10% waste)</t>
  </si>
  <si>
    <t xml:space="preserve">sheets</t>
  </si>
  <si>
    <t xml:space="preserve">40 SF/sheet (4x10)</t>
  </si>
  <si>
    <t xml:space="preserve">Wonderboard / waterproof backer board (wet areas)</t>
  </si>
  <si>
    <t xml:space="preserve">Per Landlord Comments: waterproof membrane + Wonderboard-type backer required at all wet-area demising/partition walls</t>
  </si>
  <si>
    <t xml:space="preserve">Wonderboard 3x5 sheets (15 SF/sheet, +10% waste)</t>
  </si>
  <si>
    <t xml:space="preserve">Std 3'x5' cement board sheet</t>
  </si>
  <si>
    <t xml:space="preserve">Joint compound (approx. 1 box per 500 SF gyp)</t>
  </si>
  <si>
    <t xml:space="preserve">boxes</t>
  </si>
  <si>
    <t xml:space="preserve">Rule of thumb - verify with sub</t>
  </si>
  <si>
    <t xml:space="preserve">Metal corner bead</t>
  </si>
  <si>
    <t xml:space="preserve">TBD - field count</t>
  </si>
  <si>
    <t xml:space="preserve">PLACEHOLDER - count actual outside corners from plan; not derivable from wall LF alone</t>
  </si>
  <si>
    <t xml:space="preserve">FLOOR TILE TAKEOFF (Finish Schedule, A102)</t>
  </si>
  <si>
    <t xml:space="preserve">Room / Tag</t>
  </si>
  <si>
    <t xml:space="preserve">+10% Waste (SF)</t>
  </si>
  <si>
    <t xml:space="preserve">TOTAL FLOOR TILE (with waste)</t>
  </si>
  <si>
    <t xml:space="preserve">CEILING GRID &amp; TILE TAKEOFF (A104 Ceiling Plan)</t>
  </si>
  <si>
    <t xml:space="preserve">Type</t>
  </si>
  <si>
    <t xml:space="preserve">Include in ACT Grid Calc?</t>
  </si>
  <si>
    <t xml:space="preserve">TOTAL AREA FOR ACT GRID (excludes Open Ceiling zones)</t>
  </si>
  <si>
    <t xml:space="preserve">GRID COMPONENT TAKEOFF (standard 2x4 lay-in grid ratios)</t>
  </si>
  <si>
    <t xml:space="preserve">Component</t>
  </si>
  <si>
    <t xml:space="preserve">2x4 ACT ceiling tiles (+10% waste)</t>
  </si>
  <si>
    <t xml:space="preserve">tiles</t>
  </si>
  <si>
    <t xml:space="preserve">8 SF/tile</t>
  </si>
  <si>
    <t xml:space="preserve">Main tee (4' spacing)</t>
  </si>
  <si>
    <t xml:space="preserve">1 LF main tee per 4 SF</t>
  </si>
  <si>
    <t xml:space="preserve">4' cross tee</t>
  </si>
  <si>
    <t xml:space="preserve">1 LF per 2 SF</t>
  </si>
  <si>
    <t xml:space="preserve">2' cross tee</t>
  </si>
  <si>
    <t xml:space="preserve">1 LF per 4 SF</t>
  </si>
  <si>
    <t xml:space="preserve">Wall angle / perimeter molding</t>
  </si>
  <si>
    <t xml:space="preserve">TBD - field measure</t>
  </si>
  <si>
    <t xml:space="preserve">Needs actual room perimeter, not just SF - field verify</t>
  </si>
  <si>
    <t xml:space="preserve">Hanger wire (@ 4' o.c. grid points)</t>
  </si>
  <si>
    <t xml:space="preserve">Approx 4 LF wire per grid intersection, 4'x4' spacing</t>
  </si>
  <si>
    <t xml:space="preserve">GENESIS PVC WASHABLE CEILING PANELS (Kitchen / Food-Prep / Restrooms)</t>
  </si>
  <si>
    <t xml:space="preserve">Total Genesis PVC panel area (+10% waste)</t>
  </si>
  <si>
    <t xml:space="preserve">Per ceiling plan general note: commercial grade, smooth, nonabsorbent, washable finish required in restroom &amp; food-prep areas</t>
  </si>
  <si>
    <t xml:space="preserve">MATERIAL SUMMARY - HARAZ COFFEE, 1776 E. JEFFERSON ST #112, ROCKVILLE MD</t>
  </si>
  <si>
    <t xml:space="preserve">ROM (rough order of magnitude) estimate only. Based on placeholder dimensions in the Inputs tab - replace yellow Inputs cells with real measurements before using for bidding or ordering. Unit Cost cells (yellow) are pre-filled with current market prices found via web research (see Price Source column for each); these are NOT live vendor quotes and should be confirmed with your actual supplier before ordering. Total Cost recalculates automatically as Quantity x Unit Cost. Supplier Link opens the specific product page (or a live search where no single SKU applied) used for that price.</t>
  </si>
  <si>
    <t xml:space="preserve">Category</t>
  </si>
  <si>
    <t xml:space="preserve">Unit Cost ($)</t>
  </si>
  <si>
    <t xml:space="preserve">Total Cost ($)</t>
  </si>
  <si>
    <t xml:space="preserve">Supplier Link</t>
  </si>
  <si>
    <t xml:space="preserve">Price Source / Note</t>
  </si>
  <si>
    <t xml:space="preserve">Framing</t>
  </si>
  <si>
    <t xml:space="preserve">Total partition LF</t>
  </si>
  <si>
    <t xml:space="preserve">n/a (subtotal row)</t>
  </si>
  <si>
    <t xml:space="preserve">3-5/8" MTL studs, 10' precut (16" o.c. + 10%)</t>
  </si>
  <si>
    <t xml:space="preserve">View product / search</t>
  </si>
  <si>
    <t xml:space="preserve">Est. $8/ea - 10' galvanized drywall stud, scaled from 8'-stud market range of $3.50-$9.50 (oneanddoneprep.com, 2026). Verify current HD/Menards price.</t>
  </si>
  <si>
    <t xml:space="preserve">Top track</t>
  </si>
  <si>
    <t xml:space="preserve">TBD - no live per-LF price found; $0.75/LF is a rough trade estimate. Confirm with supplier.</t>
  </si>
  <si>
    <t xml:space="preserve">Bottom track</t>
  </si>
  <si>
    <t xml:space="preserve">TBD - same estimate as top track; confirm with supplier.</t>
  </si>
  <si>
    <t xml:space="preserve">Drywall</t>
  </si>
  <si>
    <t xml:space="preserve">5/8" gyp bd area (both sides)</t>
  </si>
  <si>
    <t xml:space="preserve">5/8" gyp bd sheets (4x10, +10%)</t>
  </si>
  <si>
    <t xml:space="preserve">Est. $22.50/sheet - Type X 5/8" 4x8 retails $13-24/sheet (hammerio.com, homeguide.com, 2026); scaled to 40 SF (4x10) at same $/SF.</t>
  </si>
  <si>
    <t xml:space="preserve">Wonderboard / waterproof backer</t>
  </si>
  <si>
    <t xml:space="preserve">Wonderboard sheets (3x5, +10%)</t>
  </si>
  <si>
    <t xml:space="preserve">Est. $20/sheet (3'x5', 15 SF) - HD bulk pallet prices to $0.90-$1.12/SF ($13.50-$16.80/sheet); single-sheet retail (Ashby Lumber) runs $27-29/sheet. Midpoint used.</t>
  </si>
  <si>
    <t xml:space="preserve">Floor Tile</t>
  </si>
  <si>
    <t xml:space="preserve">Total floor tile (with 10% waste)</t>
  </si>
  <si>
    <t xml:space="preserve">$15.66/SF - Home Depot 6x6 unglazed 'Quarry Black' ceramic floor/wall tile, Internet #304263841 (live price, checked 2026). Actual quarry tile in 8x8 format per drawings may price differently - verify SKU.</t>
  </si>
  <si>
    <t xml:space="preserve">Ceiling</t>
  </si>
  <si>
    <t xml:space="preserve">Total ACT grid area</t>
  </si>
  <si>
    <t xml:space="preserve">2x4 ACT tiles (+10%)</t>
  </si>
  <si>
    <t xml:space="preserve">Est. $15/tile - Armstrong 2x4 mineral fiber tiles sell $141.88-$199.62 per 10-12 pack ($14.19-$16.64/tile) via Walmart, 2026.</t>
  </si>
  <si>
    <t xml:space="preserve">Main tee</t>
  </si>
  <si>
    <t xml:space="preserve">TBD - no live per-LF price found; $0.85/LF (~$10/12' stick) is a rough trade estimate. Confirm with supplier.</t>
  </si>
  <si>
    <t xml:space="preserve">TBD - no live per-LF price found; ~$4/piece (4') is a rough trade estimate. Confirm with supplier.</t>
  </si>
  <si>
    <t xml:space="preserve">TBD - no live per-LF price found; ~$2.50/piece (2') is a rough trade estimate. Confirm with supplier.</t>
  </si>
  <si>
    <t xml:space="preserve">Hanger wire</t>
  </si>
  <si>
    <t xml:space="preserve">TBD - no live per-LF price found; 12ga wire typically ~$0.10-0.15/LF. Confirm with supplier.</t>
  </si>
  <si>
    <t xml:space="preserve">Genesis PVC washable panels (+10%)</t>
  </si>
  <si>
    <t xml:space="preserve">$3.44/SF - Genesis/EcoTile-style 2x4 PVC washable panel cartons (10 tiles/80 SF) selling $250-275/carton on eBay, 2026. Confirm exact Genesis SKU/price with your ceiling supplier (M006-M009 hood/ceiling specs).</t>
  </si>
  <si>
    <t xml:space="preserve">GRAND TOTAL MATERIAL COST</t>
  </si>
  <si>
    <t xml:space="preserve">Note: rows marked "TBD" in the Price Source column (track, main tee, cross tees, hanger wire) have no verified live market price - they use a rough trade-estimate figure and should be confirmed with your supplier before relying on the grand total for bidding.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</si>
</sst>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2E75B6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homedepot.com/p/3-5-8-in-x-10-ft-20-Gauge-Galvanized-Steel-Drywall-Stud-358S2010/202093385" TargetMode="External"/><Relationship Id="rId2" Type="http://schemas.openxmlformats.org/officeDocument/2006/relationships/hyperlink" Target="https://www.homedepot.com/s/3-5%2F8%20metal%20track" TargetMode="External"/><Relationship Id="rId3" Type="http://schemas.openxmlformats.org/officeDocument/2006/relationships/hyperlink" Target="https://www.homedepot.com/s/3-5%2F8%20metal%20track" TargetMode="External"/><Relationship Id="rId4" Type="http://schemas.openxmlformats.org/officeDocument/2006/relationships/hyperlink" Target="https://www.homedepot.com/s/5%2F8%20drywall%204x10%20type%20x" TargetMode="External"/><Relationship Id="rId5" Type="http://schemas.openxmlformats.org/officeDocument/2006/relationships/hyperlink" Target="https://www.homedepot.com/p/James-Hardie-HardieBacker-1-2-in-x-3-ft-x-5-ft-Cement-Backerboard-1000-Sheets-220023PAL/324651105" TargetMode="External"/><Relationship Id="rId6" Type="http://schemas.openxmlformats.org/officeDocument/2006/relationships/hyperlink" Target="https://www.homedepot.com/p/p/304263841" TargetMode="External"/><Relationship Id="rId7" Type="http://schemas.openxmlformats.org/officeDocument/2006/relationships/hyperlink" Target="https://www.walmart.com/ip/Armstrong-2x4-TEXTURED-Acoustic-Ceiling-Tiles-for-Suspended-Ceiling-Grids-10-tiles-per-pack-White/5562270857" TargetMode="External"/><Relationship Id="rId8" Type="http://schemas.openxmlformats.org/officeDocument/2006/relationships/hyperlink" Target="https://www.homedepot.com/s/suspended%20ceiling%20main%20tee" TargetMode="External"/><Relationship Id="rId9" Type="http://schemas.openxmlformats.org/officeDocument/2006/relationships/hyperlink" Target="https://www.homedepot.com/s/suspended%20ceiling%204%20ft%20cross%20tee" TargetMode="External"/><Relationship Id="rId10" Type="http://schemas.openxmlformats.org/officeDocument/2006/relationships/hyperlink" Target="https://www.homedepot.com/s/suspended%20ceiling%202%20ft%20cross%20tee" TargetMode="External"/><Relationship Id="rId11" Type="http://schemas.openxmlformats.org/officeDocument/2006/relationships/hyperlink" Target="https://www.homedepot.com/s/ceiling%20hanger%20wire" TargetMode="External"/><Relationship Id="rId12" Type="http://schemas.openxmlformats.org/officeDocument/2006/relationships/hyperlink" Target="https://www.ebay.com/str/whlsaleclngs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6" t="n">
        <v>3888</v>
      </c>
      <c r="C7" s="5" t="s">
        <v>8</v>
      </c>
      <c r="D7" s="7" t="s">
        <v>9</v>
      </c>
    </row>
    <row r="8" customFormat="false" ht="15" hidden="false" customHeight="false" outlineLevel="0" collapsed="false">
      <c r="A8" s="5" t="s">
        <v>10</v>
      </c>
      <c r="B8" s="6" t="n">
        <v>9</v>
      </c>
      <c r="C8" s="5" t="s">
        <v>11</v>
      </c>
      <c r="D8" s="7" t="s">
        <v>12</v>
      </c>
    </row>
    <row r="10" customFormat="false" ht="15" hidden="false" customHeight="false" outlineLevel="0" collapsed="false">
      <c r="A10" s="3" t="s">
        <v>13</v>
      </c>
      <c r="B10" s="3"/>
      <c r="C10" s="3"/>
      <c r="D10" s="3"/>
      <c r="E10" s="3"/>
      <c r="F10" s="3"/>
    </row>
    <row r="11" customFormat="false" ht="23.85" hidden="false" customHeight="false" outlineLevel="0" collapsed="false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</row>
    <row r="12" customFormat="false" ht="15" hidden="false" customHeight="false" outlineLevel="0" collapsed="false">
      <c r="A12" s="5" t="s">
        <v>19</v>
      </c>
      <c r="B12" s="6" t="s">
        <v>20</v>
      </c>
      <c r="C12" s="6" t="n">
        <v>12</v>
      </c>
      <c r="D12" s="6" t="s">
        <v>21</v>
      </c>
      <c r="E12" s="7" t="s">
        <v>22</v>
      </c>
    </row>
    <row r="13" customFormat="false" ht="15" hidden="false" customHeight="false" outlineLevel="0" collapsed="false">
      <c r="A13" s="5" t="s">
        <v>23</v>
      </c>
      <c r="B13" s="6" t="s">
        <v>20</v>
      </c>
      <c r="C13" s="6" t="n">
        <v>12</v>
      </c>
      <c r="D13" s="6" t="s">
        <v>21</v>
      </c>
      <c r="E13" s="7" t="s">
        <v>24</v>
      </c>
    </row>
    <row r="14" customFormat="false" ht="15" hidden="false" customHeight="false" outlineLevel="0" collapsed="false">
      <c r="A14" s="5" t="s">
        <v>25</v>
      </c>
      <c r="B14" s="6" t="s">
        <v>20</v>
      </c>
      <c r="C14" s="6" t="n">
        <v>12</v>
      </c>
      <c r="D14" s="6" t="s">
        <v>21</v>
      </c>
      <c r="E14" s="7" t="s">
        <v>24</v>
      </c>
    </row>
    <row r="15" customFormat="false" ht="15" hidden="false" customHeight="false" outlineLevel="0" collapsed="false">
      <c r="A15" s="5" t="s">
        <v>26</v>
      </c>
      <c r="B15" s="6" t="s">
        <v>20</v>
      </c>
      <c r="C15" s="6" t="n">
        <v>12</v>
      </c>
      <c r="D15" s="6" t="s">
        <v>21</v>
      </c>
      <c r="E15" s="7" t="s">
        <v>24</v>
      </c>
    </row>
    <row r="16" customFormat="false" ht="15" hidden="false" customHeight="false" outlineLevel="0" collapsed="false">
      <c r="A16" s="5" t="s">
        <v>27</v>
      </c>
      <c r="B16" s="6" t="s">
        <v>28</v>
      </c>
      <c r="C16" s="6" t="n">
        <v>20</v>
      </c>
      <c r="D16" s="6" t="s">
        <v>21</v>
      </c>
      <c r="E16" s="7" t="s">
        <v>24</v>
      </c>
    </row>
    <row r="17" customFormat="false" ht="15" hidden="false" customHeight="false" outlineLevel="0" collapsed="false">
      <c r="A17" s="5" t="s">
        <v>29</v>
      </c>
      <c r="B17" s="6" t="s">
        <v>28</v>
      </c>
      <c r="C17" s="6" t="n">
        <v>18</v>
      </c>
      <c r="D17" s="6" t="s">
        <v>21</v>
      </c>
      <c r="E17" s="7" t="s">
        <v>24</v>
      </c>
    </row>
    <row r="18" customFormat="false" ht="15" hidden="false" customHeight="false" outlineLevel="0" collapsed="false">
      <c r="A18" s="5" t="s">
        <v>30</v>
      </c>
      <c r="B18" s="6" t="s">
        <v>28</v>
      </c>
      <c r="C18" s="6" t="n">
        <v>15</v>
      </c>
      <c r="D18" s="6" t="s">
        <v>21</v>
      </c>
      <c r="E18" s="7" t="s">
        <v>24</v>
      </c>
    </row>
    <row r="19" customFormat="false" ht="15" hidden="false" customHeight="false" outlineLevel="0" collapsed="false">
      <c r="A19" s="5" t="s">
        <v>31</v>
      </c>
      <c r="B19" s="6" t="s">
        <v>28</v>
      </c>
      <c r="C19" s="6" t="n">
        <v>40</v>
      </c>
      <c r="D19" s="6" t="s">
        <v>21</v>
      </c>
      <c r="E19" s="7" t="s">
        <v>32</v>
      </c>
    </row>
    <row r="20" customFormat="false" ht="15" hidden="false" customHeight="false" outlineLevel="0" collapsed="false">
      <c r="A20" s="5" t="s">
        <v>33</v>
      </c>
      <c r="B20" s="6" t="s">
        <v>20</v>
      </c>
      <c r="C20" s="6" t="n">
        <v>10</v>
      </c>
      <c r="D20" s="6" t="s">
        <v>21</v>
      </c>
      <c r="E20" s="7" t="s">
        <v>24</v>
      </c>
    </row>
    <row r="21" customFormat="false" ht="15" hidden="false" customHeight="false" outlineLevel="0" collapsed="false">
      <c r="A21" s="5" t="s">
        <v>34</v>
      </c>
      <c r="B21" s="6" t="s">
        <v>28</v>
      </c>
      <c r="C21" s="6" t="n">
        <v>15</v>
      </c>
      <c r="D21" s="6" t="s">
        <v>21</v>
      </c>
      <c r="E21" s="7" t="s">
        <v>24</v>
      </c>
    </row>
    <row r="23" customFormat="false" ht="15" hidden="false" customHeight="false" outlineLevel="0" collapsed="false">
      <c r="A23" s="8" t="s">
        <v>35</v>
      </c>
      <c r="B23" s="9"/>
      <c r="C23" s="10" t="n">
        <f aca="false">SUM(C12:C21)</f>
        <v>166</v>
      </c>
      <c r="D23" s="9"/>
      <c r="E23" s="9"/>
    </row>
    <row r="25" customFormat="false" ht="15" hidden="false" customHeight="false" outlineLevel="0" collapsed="false">
      <c r="A25" s="3" t="s">
        <v>36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4" t="s">
        <v>37</v>
      </c>
      <c r="B26" s="4" t="s">
        <v>38</v>
      </c>
      <c r="C26" s="4" t="s">
        <v>39</v>
      </c>
      <c r="D26" s="4" t="s">
        <v>18</v>
      </c>
    </row>
    <row r="27" customFormat="false" ht="15" hidden="false" customHeight="false" outlineLevel="0" collapsed="false">
      <c r="A27" s="5" t="s">
        <v>40</v>
      </c>
      <c r="B27" s="6" t="n">
        <v>12</v>
      </c>
      <c r="C27" s="6" t="n">
        <v>9</v>
      </c>
      <c r="D27" s="7" t="s">
        <v>41</v>
      </c>
    </row>
    <row r="28" customFormat="false" ht="15" hidden="false" customHeight="false" outlineLevel="0" collapsed="false">
      <c r="A28" s="5" t="s">
        <v>42</v>
      </c>
      <c r="B28" s="6" t="n">
        <v>12</v>
      </c>
      <c r="C28" s="6" t="n">
        <v>9</v>
      </c>
      <c r="D28" s="7" t="s">
        <v>43</v>
      </c>
    </row>
    <row r="29" customFormat="false" ht="15" hidden="false" customHeight="false" outlineLevel="0" collapsed="false">
      <c r="A29" s="5" t="s">
        <v>44</v>
      </c>
      <c r="B29" s="6" t="n">
        <v>12</v>
      </c>
      <c r="C29" s="6" t="n">
        <v>9</v>
      </c>
      <c r="D29" s="7" t="s">
        <v>43</v>
      </c>
    </row>
    <row r="30" customFormat="false" ht="15" hidden="false" customHeight="false" outlineLevel="0" collapsed="false">
      <c r="A30" s="5" t="s">
        <v>45</v>
      </c>
      <c r="B30" s="6" t="n">
        <v>12</v>
      </c>
      <c r="C30" s="6" t="n">
        <v>9</v>
      </c>
      <c r="D30" s="7" t="s">
        <v>43</v>
      </c>
    </row>
    <row r="31" customFormat="false" ht="15" hidden="false" customHeight="false" outlineLevel="0" collapsed="false">
      <c r="A31" s="5" t="s">
        <v>46</v>
      </c>
      <c r="B31" s="6" t="n">
        <v>20</v>
      </c>
      <c r="C31" s="6" t="n">
        <v>9</v>
      </c>
      <c r="D31" s="7" t="s">
        <v>47</v>
      </c>
    </row>
    <row r="34" customFormat="false" ht="15" hidden="false" customHeight="false" outlineLevel="0" collapsed="false">
      <c r="A34" s="3" t="s">
        <v>48</v>
      </c>
      <c r="B34" s="3"/>
      <c r="C34" s="3"/>
      <c r="D34" s="3"/>
      <c r="E34" s="3"/>
      <c r="F34" s="3"/>
    </row>
    <row r="35" customFormat="false" ht="23.85" hidden="false" customHeight="false" outlineLevel="0" collapsed="false">
      <c r="A35" s="4" t="s">
        <v>49</v>
      </c>
      <c r="B35" s="4" t="s">
        <v>50</v>
      </c>
      <c r="C35" s="4" t="s">
        <v>51</v>
      </c>
      <c r="D35" s="4" t="s">
        <v>18</v>
      </c>
    </row>
    <row r="36" customFormat="false" ht="15" hidden="false" customHeight="false" outlineLevel="0" collapsed="false">
      <c r="A36" s="5" t="s">
        <v>52</v>
      </c>
      <c r="B36" s="6" t="s">
        <v>53</v>
      </c>
      <c r="C36" s="6" t="n">
        <v>1400</v>
      </c>
      <c r="D36" s="7" t="s">
        <v>54</v>
      </c>
    </row>
    <row r="37" customFormat="false" ht="15" hidden="false" customHeight="false" outlineLevel="0" collapsed="false">
      <c r="A37" s="5" t="s">
        <v>55</v>
      </c>
      <c r="B37" s="6" t="s">
        <v>53</v>
      </c>
      <c r="C37" s="6" t="n">
        <v>150</v>
      </c>
      <c r="D37" s="7" t="s">
        <v>24</v>
      </c>
    </row>
    <row r="38" customFormat="false" ht="15" hidden="false" customHeight="false" outlineLevel="0" collapsed="false">
      <c r="A38" s="5" t="s">
        <v>56</v>
      </c>
      <c r="B38" s="6" t="s">
        <v>53</v>
      </c>
      <c r="C38" s="6" t="n">
        <v>130</v>
      </c>
      <c r="D38" s="7" t="s">
        <v>24</v>
      </c>
    </row>
    <row r="39" customFormat="false" ht="15" hidden="false" customHeight="false" outlineLevel="0" collapsed="false">
      <c r="A39" s="5" t="s">
        <v>57</v>
      </c>
      <c r="B39" s="6" t="s">
        <v>58</v>
      </c>
      <c r="C39" s="6" t="n">
        <v>200</v>
      </c>
      <c r="D39" s="7" t="s">
        <v>59</v>
      </c>
    </row>
    <row r="40" customFormat="false" ht="15" hidden="false" customHeight="false" outlineLevel="0" collapsed="false">
      <c r="A40" s="5" t="s">
        <v>60</v>
      </c>
      <c r="B40" s="6" t="s">
        <v>58</v>
      </c>
      <c r="C40" s="6" t="n">
        <v>400</v>
      </c>
      <c r="D40" s="7" t="s">
        <v>61</v>
      </c>
    </row>
    <row r="41" customFormat="false" ht="15" hidden="false" customHeight="false" outlineLevel="0" collapsed="false">
      <c r="A41" s="5" t="s">
        <v>62</v>
      </c>
      <c r="B41" s="6" t="s">
        <v>63</v>
      </c>
      <c r="C41" s="6" t="n">
        <v>1200</v>
      </c>
      <c r="D41" s="7" t="s">
        <v>64</v>
      </c>
    </row>
    <row r="44" customFormat="false" ht="15" hidden="false" customHeight="false" outlineLevel="0" collapsed="false">
      <c r="A44" s="3" t="s">
        <v>65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4" t="s">
        <v>66</v>
      </c>
      <c r="B45" s="4" t="s">
        <v>67</v>
      </c>
      <c r="C45" s="4" t="s">
        <v>51</v>
      </c>
      <c r="D45" s="4" t="s">
        <v>18</v>
      </c>
    </row>
    <row r="46" customFormat="false" ht="15" hidden="false" customHeight="false" outlineLevel="0" collapsed="false">
      <c r="A46" s="5" t="s">
        <v>68</v>
      </c>
      <c r="B46" s="6" t="s">
        <v>69</v>
      </c>
      <c r="C46" s="6" t="n">
        <v>1400</v>
      </c>
      <c r="D46" s="7" t="s">
        <v>70</v>
      </c>
    </row>
    <row r="47" customFormat="false" ht="15" hidden="false" customHeight="false" outlineLevel="0" collapsed="false">
      <c r="A47" s="5" t="s">
        <v>71</v>
      </c>
      <c r="B47" s="6" t="s">
        <v>69</v>
      </c>
      <c r="C47" s="6" t="n">
        <v>300</v>
      </c>
      <c r="D47" s="7" t="s">
        <v>72</v>
      </c>
    </row>
    <row r="48" customFormat="false" ht="15" hidden="false" customHeight="false" outlineLevel="0" collapsed="false">
      <c r="A48" s="5" t="s">
        <v>73</v>
      </c>
      <c r="B48" s="6" t="s">
        <v>74</v>
      </c>
      <c r="C48" s="6" t="n">
        <v>840</v>
      </c>
      <c r="D48" s="7" t="s">
        <v>75</v>
      </c>
    </row>
    <row r="49" customFormat="false" ht="15" hidden="false" customHeight="false" outlineLevel="0" collapsed="false">
      <c r="A49" s="5" t="s">
        <v>76</v>
      </c>
      <c r="B49" s="6" t="s">
        <v>77</v>
      </c>
      <c r="C49" s="6" t="n">
        <v>200</v>
      </c>
      <c r="D49" s="7" t="s">
        <v>78</v>
      </c>
    </row>
  </sheetData>
  <mergeCells count="7">
    <mergeCell ref="A1:F1"/>
    <mergeCell ref="A3:F3"/>
    <mergeCell ref="A5:F5"/>
    <mergeCell ref="A10:F10"/>
    <mergeCell ref="A25:F25"/>
    <mergeCell ref="A34:F34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79</v>
      </c>
      <c r="B1" s="1"/>
      <c r="C1" s="1"/>
      <c r="D1" s="1"/>
      <c r="E1" s="1"/>
    </row>
    <row r="3" customFormat="false" ht="57.45" hidden="false" customHeight="false" outlineLevel="0" collapsed="false">
      <c r="A3" s="4" t="s">
        <v>3</v>
      </c>
      <c r="B3" s="4" t="s">
        <v>80</v>
      </c>
      <c r="C3" s="4" t="s">
        <v>81</v>
      </c>
      <c r="D3" s="4" t="s">
        <v>5</v>
      </c>
      <c r="E3" s="4" t="s">
        <v>18</v>
      </c>
    </row>
    <row r="4" customFormat="false" ht="15" hidden="false" customHeight="false" outlineLevel="0" collapsed="false">
      <c r="A4" s="5" t="s">
        <v>82</v>
      </c>
      <c r="B4" s="9"/>
      <c r="C4" s="10" t="n">
        <f aca="false">Inputs!C23</f>
        <v>166</v>
      </c>
      <c r="D4" s="5" t="s">
        <v>83</v>
      </c>
      <c r="E4" s="7" t="s">
        <v>84</v>
      </c>
    </row>
    <row r="5" customFormat="false" ht="15" hidden="false" customHeight="false" outlineLevel="0" collapsed="false">
      <c r="A5" s="5" t="s">
        <v>85</v>
      </c>
      <c r="B5" s="9"/>
      <c r="C5" s="10" t="n">
        <f aca="false">ROUNDUP(C4*12/16,0)+ROUNDUP(C4*0.1,0)</f>
        <v>142</v>
      </c>
      <c r="D5" s="5" t="s">
        <v>86</v>
      </c>
      <c r="E5" s="7" t="s">
        <v>87</v>
      </c>
    </row>
    <row r="6" customFormat="false" ht="15" hidden="false" customHeight="false" outlineLevel="0" collapsed="false">
      <c r="A6" s="5" t="s">
        <v>88</v>
      </c>
      <c r="B6" s="9"/>
      <c r="C6" s="10" t="n">
        <f aca="false">C4</f>
        <v>166</v>
      </c>
      <c r="D6" s="5" t="s">
        <v>83</v>
      </c>
      <c r="E6" s="7" t="s">
        <v>89</v>
      </c>
    </row>
    <row r="7" customFormat="false" ht="15" hidden="false" customHeight="false" outlineLevel="0" collapsed="false">
      <c r="A7" s="5" t="s">
        <v>90</v>
      </c>
      <c r="B7" s="9"/>
      <c r="C7" s="10" t="n">
        <f aca="false">C4</f>
        <v>166</v>
      </c>
      <c r="D7" s="5" t="s">
        <v>83</v>
      </c>
      <c r="E7" s="7" t="s">
        <v>89</v>
      </c>
    </row>
    <row r="8" customFormat="false" ht="15" hidden="false" customHeight="false" outlineLevel="0" collapsed="false">
      <c r="A8" s="5" t="s">
        <v>91</v>
      </c>
      <c r="B8" s="9"/>
      <c r="C8" s="7" t="s">
        <v>92</v>
      </c>
      <c r="D8" s="5" t="s">
        <v>83</v>
      </c>
      <c r="E8" s="7" t="s">
        <v>93</v>
      </c>
    </row>
    <row r="9" customFormat="false" ht="15" hidden="false" customHeight="false" outlineLevel="0" collapsed="false">
      <c r="A9" s="5" t="s">
        <v>94</v>
      </c>
      <c r="B9" s="9"/>
      <c r="C9" s="10" t="n">
        <f aca="false">C4</f>
        <v>166</v>
      </c>
      <c r="D9" s="5" t="s">
        <v>83</v>
      </c>
      <c r="E9" s="7" t="s">
        <v>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" t="s">
        <v>96</v>
      </c>
      <c r="B1" s="1"/>
      <c r="C1" s="1"/>
      <c r="D1" s="1"/>
      <c r="E1" s="1"/>
    </row>
    <row r="3" customFormat="false" ht="35.05" hidden="false" customHeight="false" outlineLevel="0" collapsed="false">
      <c r="A3" s="4" t="s">
        <v>3</v>
      </c>
      <c r="B3" s="4" t="s">
        <v>97</v>
      </c>
      <c r="C3" s="4" t="s">
        <v>81</v>
      </c>
      <c r="D3" s="4" t="s">
        <v>5</v>
      </c>
      <c r="E3" s="4" t="s">
        <v>18</v>
      </c>
    </row>
    <row r="4" customFormat="false" ht="15" hidden="false" customHeight="false" outlineLevel="0" collapsed="false">
      <c r="A4" s="5" t="s">
        <v>98</v>
      </c>
      <c r="B4" s="9"/>
      <c r="C4" s="10" t="n">
        <f aca="false">Inputs!C23*Inputs!B8*2</f>
        <v>2988</v>
      </c>
      <c r="D4" s="5" t="s">
        <v>8</v>
      </c>
      <c r="E4" s="7" t="s">
        <v>99</v>
      </c>
    </row>
    <row r="5" customFormat="false" ht="15" hidden="false" customHeight="false" outlineLevel="0" collapsed="false">
      <c r="A5" s="5" t="s">
        <v>100</v>
      </c>
      <c r="B5" s="9"/>
      <c r="C5" s="10" t="n">
        <f aca="false">ROUNDUP(C4/40*1.1,0)</f>
        <v>83</v>
      </c>
      <c r="D5" s="5" t="s">
        <v>101</v>
      </c>
      <c r="E5" s="7" t="s">
        <v>102</v>
      </c>
    </row>
    <row r="6" customFormat="false" ht="15" hidden="false" customHeight="false" outlineLevel="0" collapsed="false">
      <c r="A6" s="5" t="s">
        <v>103</v>
      </c>
      <c r="B6" s="9"/>
      <c r="C6" s="10" t="n">
        <f aca="false">SUM(Inputs!B27:B31)*Inputs!B8</f>
        <v>612</v>
      </c>
      <c r="D6" s="5" t="s">
        <v>8</v>
      </c>
      <c r="E6" s="7" t="s">
        <v>104</v>
      </c>
    </row>
    <row r="7" customFormat="false" ht="15" hidden="false" customHeight="false" outlineLevel="0" collapsed="false">
      <c r="A7" s="5" t="s">
        <v>105</v>
      </c>
      <c r="B7" s="9"/>
      <c r="C7" s="10" t="n">
        <f aca="false">ROUNDUP(C6/15*1.1,0)</f>
        <v>45</v>
      </c>
      <c r="D7" s="5" t="s">
        <v>101</v>
      </c>
      <c r="E7" s="7" t="s">
        <v>106</v>
      </c>
    </row>
    <row r="8" customFormat="false" ht="15" hidden="false" customHeight="false" outlineLevel="0" collapsed="false">
      <c r="A8" s="5" t="s">
        <v>107</v>
      </c>
      <c r="B8" s="9"/>
      <c r="C8" s="10" t="n">
        <f aca="false">ROUNDUP(C4/500,0)</f>
        <v>6</v>
      </c>
      <c r="D8" s="5" t="s">
        <v>108</v>
      </c>
      <c r="E8" s="7" t="s">
        <v>109</v>
      </c>
    </row>
    <row r="9" customFormat="false" ht="15" hidden="false" customHeight="false" outlineLevel="0" collapsed="false">
      <c r="A9" s="5" t="s">
        <v>110</v>
      </c>
      <c r="B9" s="9"/>
      <c r="C9" s="7" t="s">
        <v>111</v>
      </c>
      <c r="D9" s="5" t="s">
        <v>83</v>
      </c>
      <c r="E9" s="7" t="s">
        <v>112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113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114</v>
      </c>
      <c r="B3" s="4" t="s">
        <v>67</v>
      </c>
      <c r="C3" s="4" t="s">
        <v>51</v>
      </c>
      <c r="D3" s="4" t="s">
        <v>115</v>
      </c>
      <c r="E3" s="4" t="s">
        <v>18</v>
      </c>
    </row>
    <row r="4" customFormat="false" ht="15" hidden="false" customHeight="false" outlineLevel="0" collapsed="false">
      <c r="A4" s="5" t="str">
        <f aca="false">Inputs!A46</f>
        <v>101 - Seating/dining</v>
      </c>
      <c r="B4" s="5" t="str">
        <f aca="false">Inputs!B46</f>
        <v>Ceramic tile</v>
      </c>
      <c r="C4" s="5" t="n">
        <f aca="false">Inputs!C46</f>
        <v>1400</v>
      </c>
      <c r="D4" s="10" t="n">
        <f aca="false">C4*1.1</f>
        <v>1540</v>
      </c>
      <c r="E4" s="7" t="str">
        <f aca="false">Inputs!D46</f>
        <v>PLACEHOLDER - per Finish Schedule tag 101</v>
      </c>
    </row>
    <row r="5" customFormat="false" ht="15" hidden="false" customHeight="false" outlineLevel="0" collapsed="false">
      <c r="A5" s="5" t="str">
        <f aca="false">Inputs!A47</f>
        <v>102 - Suspended clg area</v>
      </c>
      <c r="B5" s="5" t="str">
        <f aca="false">Inputs!B47</f>
        <v>Ceramic tile</v>
      </c>
      <c r="C5" s="5" t="n">
        <f aca="false">Inputs!C47</f>
        <v>300</v>
      </c>
      <c r="D5" s="10" t="n">
        <f aca="false">C5*1.1</f>
        <v>330</v>
      </c>
      <c r="E5" s="7" t="str">
        <f aca="false">Inputs!D47</f>
        <v>PLACEHOLDER - tag 102</v>
      </c>
    </row>
    <row r="6" customFormat="false" ht="15" hidden="false" customHeight="false" outlineLevel="0" collapsed="false">
      <c r="A6" s="5" t="str">
        <f aca="false">Inputs!A48</f>
        <v>103 - Kitchen</v>
      </c>
      <c r="B6" s="5" t="str">
        <f aca="false">Inputs!B48</f>
        <v>8x8 Quarry tile</v>
      </c>
      <c r="C6" s="5" t="n">
        <f aca="false">Inputs!C48</f>
        <v>840</v>
      </c>
      <c r="D6" s="10" t="n">
        <f aca="false">C6*1.1</f>
        <v>924</v>
      </c>
      <c r="E6" s="7" t="str">
        <f aca="false">Inputs!D48</f>
        <v>Tag 103 - quarry tile + FRP wall panel at kitchen U.N.O.</v>
      </c>
    </row>
    <row r="7" customFormat="false" ht="15" hidden="false" customHeight="false" outlineLevel="0" collapsed="false">
      <c r="A7" s="5" t="str">
        <f aca="false">Inputs!A49</f>
        <v>104 - Misc / restrooms approach</v>
      </c>
      <c r="B7" s="5" t="str">
        <f aca="false">Inputs!B49</f>
        <v>Ceramic tile (2x4 CLG tile floor)</v>
      </c>
      <c r="C7" s="5" t="n">
        <f aca="false">Inputs!C49</f>
        <v>200</v>
      </c>
      <c r="D7" s="10" t="n">
        <f aca="false">C7*1.1</f>
        <v>220</v>
      </c>
      <c r="E7" s="7" t="str">
        <f aca="false">Inputs!D49</f>
        <v>PLACEHOLDER - tag 104</v>
      </c>
    </row>
    <row r="9" customFormat="false" ht="15" hidden="false" customHeight="false" outlineLevel="0" collapsed="false">
      <c r="A9" s="8" t="s">
        <v>116</v>
      </c>
      <c r="B9" s="9"/>
      <c r="C9" s="9"/>
      <c r="D9" s="10" t="n">
        <f aca="false">SUM(D4:D7)</f>
        <v>3014</v>
      </c>
      <c r="E9" s="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5"/>
  </cols>
  <sheetData>
    <row r="1" customFormat="false" ht="21.75" hidden="false" customHeight="true" outlineLevel="0" collapsed="false">
      <c r="A1" s="1" t="s">
        <v>117</v>
      </c>
      <c r="B1" s="1"/>
      <c r="C1" s="1"/>
      <c r="D1" s="1"/>
      <c r="E1" s="1"/>
    </row>
    <row r="3" customFormat="false" ht="35.05" hidden="false" customHeight="false" outlineLevel="0" collapsed="false">
      <c r="A3" s="4" t="s">
        <v>49</v>
      </c>
      <c r="B3" s="4" t="s">
        <v>118</v>
      </c>
      <c r="C3" s="4" t="s">
        <v>51</v>
      </c>
      <c r="D3" s="4" t="s">
        <v>119</v>
      </c>
      <c r="E3" s="4" t="s">
        <v>18</v>
      </c>
    </row>
    <row r="4" customFormat="false" ht="15" hidden="false" customHeight="false" outlineLevel="0" collapsed="false">
      <c r="A4" s="5" t="str">
        <f aca="false">Inputs!A36</f>
        <v>Seating / dining area</v>
      </c>
      <c r="B4" s="5" t="str">
        <f aca="false">Inputs!B36</f>
        <v>Suspended ACT</v>
      </c>
      <c r="C4" s="5" t="n">
        <f aca="false">Inputs!C36</f>
        <v>1400</v>
      </c>
      <c r="D4" s="5" t="str">
        <f aca="false">IF(ISNUMBER(SEARCH("Open",B4)),"NO - open ceiling","YES")</f>
        <v>YES</v>
      </c>
      <c r="E4" s="7" t="str">
        <f aca="false">Inputs!D36</f>
        <v>PLACEHOLDER - measure per A104</v>
      </c>
    </row>
    <row r="5" customFormat="false" ht="15" hidden="false" customHeight="false" outlineLevel="0" collapsed="false">
      <c r="A5" s="5" t="str">
        <f aca="false">Inputs!A37</f>
        <v>Meeting room</v>
      </c>
      <c r="B5" s="5" t="str">
        <f aca="false">Inputs!B37</f>
        <v>Suspended ACT</v>
      </c>
      <c r="C5" s="5" t="n">
        <f aca="false">Inputs!C37</f>
        <v>150</v>
      </c>
      <c r="D5" s="5" t="str">
        <f aca="false">IF(ISNUMBER(SEARCH("Open",B5)),"NO - open ceiling","YES")</f>
        <v>YES</v>
      </c>
      <c r="E5" s="7" t="str">
        <f aca="false">Inputs!D37</f>
        <v>PLACEHOLDER</v>
      </c>
    </row>
    <row r="6" customFormat="false" ht="15" hidden="false" customHeight="false" outlineLevel="0" collapsed="false">
      <c r="A6" s="5" t="str">
        <f aca="false">Inputs!A38</f>
        <v>Praying room</v>
      </c>
      <c r="B6" s="5" t="str">
        <f aca="false">Inputs!B38</f>
        <v>Suspended ACT</v>
      </c>
      <c r="C6" s="5" t="n">
        <f aca="false">Inputs!C38</f>
        <v>130</v>
      </c>
      <c r="D6" s="5" t="str">
        <f aca="false">IF(ISNUMBER(SEARCH("Open",B6)),"NO - open ceiling","YES")</f>
        <v>YES</v>
      </c>
      <c r="E6" s="7" t="str">
        <f aca="false">Inputs!D38</f>
        <v>PLACEHOLDER</v>
      </c>
    </row>
    <row r="7" customFormat="false" ht="15" hidden="false" customHeight="false" outlineLevel="0" collapsed="false">
      <c r="A7" s="5" t="str">
        <f aca="false">Inputs!A39</f>
        <v>Restrooms (1-4)</v>
      </c>
      <c r="B7" s="5" t="str">
        <f aca="false">Inputs!B39</f>
        <v>Genesis PVC Washable</v>
      </c>
      <c r="C7" s="5" t="n">
        <f aca="false">Inputs!C39</f>
        <v>200</v>
      </c>
      <c r="D7" s="5" t="str">
        <f aca="false">IF(ISNUMBER(SEARCH("Open",B7)),"NO - open ceiling","YES")</f>
        <v>YES</v>
      </c>
      <c r="E7" s="7" t="str">
        <f aca="false">Inputs!D39</f>
        <v>Commercial grade, nonabsorbent, washable per ceiling notes</v>
      </c>
    </row>
    <row r="8" customFormat="false" ht="15" hidden="false" customHeight="false" outlineLevel="0" collapsed="false">
      <c r="A8" s="5" t="str">
        <f aca="false">Inputs!A40</f>
        <v>Kitchen / food prep</v>
      </c>
      <c r="B8" s="5" t="str">
        <f aca="false">Inputs!B40</f>
        <v>Genesis PVC Washable</v>
      </c>
      <c r="C8" s="5" t="n">
        <f aca="false">Inputs!C40</f>
        <v>400</v>
      </c>
      <c r="D8" s="5" t="str">
        <f aca="false">IF(ISNUMBER(SEARCH("Open",B8)),"NO - open ceiling","YES")</f>
        <v>YES</v>
      </c>
      <c r="E8" s="7" t="str">
        <f aca="false">Inputs!D40</f>
        <v>Same - required by ceiling plan general notes</v>
      </c>
    </row>
    <row r="9" customFormat="false" ht="15" hidden="false" customHeight="false" outlineLevel="0" collapsed="false">
      <c r="A9" s="5" t="str">
        <f aca="false">Inputs!A41</f>
        <v>Rear / BOH open ceiling zone</v>
      </c>
      <c r="B9" s="5" t="str">
        <f aca="false">Inputs!B41</f>
        <v>Open Ceiling (no grid)</v>
      </c>
      <c r="C9" s="5" t="n">
        <f aca="false">Inputs!C41</f>
        <v>1200</v>
      </c>
      <c r="D9" s="5" t="str">
        <f aca="false">IF(ISNUMBER(SEARCH("Open",B9)),"NO - open ceiling","YES")</f>
        <v>NO - open ceiling</v>
      </c>
      <c r="E9" s="7" t="str">
        <f aca="false">Inputs!D41</f>
        <v>Per A104 - explicitly marked OPEN CEILING, exclude from grid takeoff</v>
      </c>
    </row>
    <row r="11" customFormat="false" ht="15" hidden="false" customHeight="false" outlineLevel="0" collapsed="false">
      <c r="A11" s="8" t="s">
        <v>120</v>
      </c>
      <c r="B11" s="9"/>
      <c r="C11" s="10" t="n">
        <f aca="false">SUMPRODUCT((ISNUMBER(SEARCH("Open",B4:B9))=FALSE())*C4:C9)</f>
        <v>2280</v>
      </c>
      <c r="D11" s="9"/>
      <c r="E11" s="9"/>
    </row>
    <row r="13" customFormat="false" ht="15" hidden="false" customHeight="false" outlineLevel="0" collapsed="false">
      <c r="A13" s="3" t="s">
        <v>121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122</v>
      </c>
      <c r="B14" s="4" t="s">
        <v>97</v>
      </c>
      <c r="C14" s="4" t="s">
        <v>81</v>
      </c>
      <c r="D14" s="4" t="s">
        <v>5</v>
      </c>
      <c r="E14" s="4" t="s">
        <v>18</v>
      </c>
    </row>
    <row r="15" customFormat="false" ht="15" hidden="false" customHeight="false" outlineLevel="0" collapsed="false">
      <c r="A15" s="5" t="s">
        <v>123</v>
      </c>
      <c r="B15" s="9"/>
      <c r="C15" s="10" t="n">
        <f aca="false">ROUNDUP(C11/8*1.1,0)</f>
        <v>314</v>
      </c>
      <c r="D15" s="5" t="s">
        <v>124</v>
      </c>
      <c r="E15" s="7" t="s">
        <v>125</v>
      </c>
    </row>
    <row r="16" customFormat="false" ht="15" hidden="false" customHeight="false" outlineLevel="0" collapsed="false">
      <c r="A16" s="5" t="s">
        <v>126</v>
      </c>
      <c r="B16" s="9"/>
      <c r="C16" s="10" t="n">
        <f aca="false">ROUNDUP(C11/4,0)</f>
        <v>570</v>
      </c>
      <c r="D16" s="5" t="s">
        <v>83</v>
      </c>
      <c r="E16" s="7" t="s">
        <v>127</v>
      </c>
    </row>
    <row r="17" customFormat="false" ht="15" hidden="false" customHeight="false" outlineLevel="0" collapsed="false">
      <c r="A17" s="5" t="s">
        <v>128</v>
      </c>
      <c r="B17" s="9"/>
      <c r="C17" s="10" t="n">
        <f aca="false">ROUNDUP(C11/2,0)</f>
        <v>1140</v>
      </c>
      <c r="D17" s="5" t="s">
        <v>83</v>
      </c>
      <c r="E17" s="7" t="s">
        <v>129</v>
      </c>
    </row>
    <row r="18" customFormat="false" ht="15" hidden="false" customHeight="false" outlineLevel="0" collapsed="false">
      <c r="A18" s="5" t="s">
        <v>130</v>
      </c>
      <c r="B18" s="9"/>
      <c r="C18" s="10" t="n">
        <f aca="false">ROUNDUP(C11/4,0)</f>
        <v>570</v>
      </c>
      <c r="D18" s="5" t="s">
        <v>83</v>
      </c>
      <c r="E18" s="7" t="s">
        <v>131</v>
      </c>
    </row>
    <row r="19" customFormat="false" ht="15" hidden="false" customHeight="false" outlineLevel="0" collapsed="false">
      <c r="A19" s="5" t="s">
        <v>132</v>
      </c>
      <c r="B19" s="9"/>
      <c r="C19" s="7" t="s">
        <v>133</v>
      </c>
      <c r="D19" s="5" t="s">
        <v>83</v>
      </c>
      <c r="E19" s="7" t="s">
        <v>134</v>
      </c>
    </row>
    <row r="20" customFormat="false" ht="15" hidden="false" customHeight="false" outlineLevel="0" collapsed="false">
      <c r="A20" s="5" t="s">
        <v>135</v>
      </c>
      <c r="B20" s="9"/>
      <c r="C20" s="10" t="n">
        <f aca="false">ROUNDUP(C11/16,0)*4</f>
        <v>572</v>
      </c>
      <c r="D20" s="5" t="s">
        <v>83</v>
      </c>
      <c r="E20" s="7" t="s">
        <v>136</v>
      </c>
    </row>
    <row r="22" customFormat="false" ht="15" hidden="false" customHeight="false" outlineLevel="0" collapsed="false">
      <c r="A22" s="3" t="s">
        <v>137</v>
      </c>
      <c r="B22" s="3"/>
      <c r="C22" s="3"/>
      <c r="D22" s="3"/>
      <c r="E22" s="3"/>
    </row>
    <row r="23" customFormat="false" ht="15" hidden="false" customHeight="false" outlineLevel="0" collapsed="false">
      <c r="A23" s="5" t="s">
        <v>138</v>
      </c>
      <c r="B23" s="9"/>
      <c r="C23" s="10" t="n">
        <f aca="false">(SUMPRODUCT((ISNUMBER(SEARCH("Genesis",B4:B9)))*C4:C9))*1.1</f>
        <v>660</v>
      </c>
      <c r="D23" s="5" t="s">
        <v>8</v>
      </c>
      <c r="E23" s="7" t="s">
        <v>139</v>
      </c>
    </row>
  </sheetData>
  <mergeCells count="3">
    <mergeCell ref="A1:E1"/>
    <mergeCell ref="A13:E13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70"/>
  </cols>
  <sheetData>
    <row r="1" customFormat="false" ht="21.75" hidden="false" customHeight="true" outlineLevel="0" collapsed="false">
      <c r="A1" s="1" t="s">
        <v>140</v>
      </c>
      <c r="B1" s="1"/>
      <c r="C1" s="1"/>
      <c r="D1" s="1"/>
    </row>
    <row r="3" customFormat="false" ht="48" hidden="false" customHeight="true" outlineLevel="0" collapsed="false">
      <c r="A3" s="2" t="s">
        <v>141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4" t="s">
        <v>142</v>
      </c>
      <c r="B5" s="4" t="s">
        <v>3</v>
      </c>
      <c r="C5" s="4" t="s">
        <v>81</v>
      </c>
      <c r="D5" s="4" t="s">
        <v>5</v>
      </c>
      <c r="E5" s="4" t="s">
        <v>143</v>
      </c>
      <c r="F5" s="4" t="s">
        <v>144</v>
      </c>
      <c r="G5" s="4" t="s">
        <v>145</v>
      </c>
      <c r="H5" s="4" t="s">
        <v>146</v>
      </c>
    </row>
    <row r="6" customFormat="false" ht="15" hidden="false" customHeight="false" outlineLevel="0" collapsed="false">
      <c r="A6" s="5" t="s">
        <v>147</v>
      </c>
      <c r="B6" s="5" t="s">
        <v>148</v>
      </c>
      <c r="C6" s="10" t="n">
        <f aca="false">Inputs!C23</f>
        <v>166</v>
      </c>
      <c r="D6" s="5" t="s">
        <v>83</v>
      </c>
      <c r="E6" s="11"/>
      <c r="F6" s="12" t="str">
        <f aca="false">IF(E6="","",C6*E6)</f>
        <v/>
      </c>
      <c r="G6" s="7" t="s">
        <v>149</v>
      </c>
      <c r="H6" s="7"/>
    </row>
    <row r="7" customFormat="false" ht="15" hidden="false" customHeight="false" outlineLevel="0" collapsed="false">
      <c r="A7" s="5" t="s">
        <v>147</v>
      </c>
      <c r="B7" s="5" t="s">
        <v>150</v>
      </c>
      <c r="C7" s="10" t="n">
        <f aca="false">Framing!C5</f>
        <v>142</v>
      </c>
      <c r="D7" s="5" t="s">
        <v>86</v>
      </c>
      <c r="E7" s="11" t="n">
        <v>8</v>
      </c>
      <c r="F7" s="12" t="n">
        <f aca="false">IF(E7="","",C7*E7)</f>
        <v>1136</v>
      </c>
      <c r="G7" s="13" t="s">
        <v>151</v>
      </c>
      <c r="H7" s="7" t="s">
        <v>152</v>
      </c>
    </row>
    <row r="8" customFormat="false" ht="15" hidden="false" customHeight="false" outlineLevel="0" collapsed="false">
      <c r="A8" s="5" t="s">
        <v>147</v>
      </c>
      <c r="B8" s="5" t="s">
        <v>153</v>
      </c>
      <c r="C8" s="10" t="n">
        <f aca="false">Framing!C6</f>
        <v>166</v>
      </c>
      <c r="D8" s="5" t="s">
        <v>83</v>
      </c>
      <c r="E8" s="11" t="n">
        <v>0.75</v>
      </c>
      <c r="F8" s="12" t="n">
        <f aca="false">IF(E8="","",C8*E8)</f>
        <v>124.5</v>
      </c>
      <c r="G8" s="13" t="s">
        <v>151</v>
      </c>
      <c r="H8" s="7" t="s">
        <v>154</v>
      </c>
    </row>
    <row r="9" customFormat="false" ht="15" hidden="false" customHeight="false" outlineLevel="0" collapsed="false">
      <c r="A9" s="5" t="s">
        <v>147</v>
      </c>
      <c r="B9" s="5" t="s">
        <v>155</v>
      </c>
      <c r="C9" s="10" t="n">
        <f aca="false">Framing!C7</f>
        <v>166</v>
      </c>
      <c r="D9" s="5" t="s">
        <v>83</v>
      </c>
      <c r="E9" s="11" t="n">
        <v>0.75</v>
      </c>
      <c r="F9" s="12" t="n">
        <f aca="false">IF(E9="","",C9*E9)</f>
        <v>124.5</v>
      </c>
      <c r="G9" s="13" t="s">
        <v>151</v>
      </c>
      <c r="H9" s="7" t="s">
        <v>156</v>
      </c>
    </row>
    <row r="10" customFormat="false" ht="15" hidden="false" customHeight="false" outlineLevel="0" collapsed="false">
      <c r="A10" s="5" t="s">
        <v>157</v>
      </c>
      <c r="B10" s="5" t="s">
        <v>158</v>
      </c>
      <c r="C10" s="10" t="n">
        <f aca="false">Drywall!C4</f>
        <v>2988</v>
      </c>
      <c r="D10" s="5" t="s">
        <v>8</v>
      </c>
      <c r="E10" s="11"/>
      <c r="F10" s="12" t="str">
        <f aca="false">IF(E10="","",C10*E10)</f>
        <v/>
      </c>
      <c r="G10" s="7" t="s">
        <v>149</v>
      </c>
      <c r="H10" s="7"/>
    </row>
    <row r="11" customFormat="false" ht="15" hidden="false" customHeight="false" outlineLevel="0" collapsed="false">
      <c r="A11" s="5" t="s">
        <v>157</v>
      </c>
      <c r="B11" s="5" t="s">
        <v>159</v>
      </c>
      <c r="C11" s="10" t="n">
        <f aca="false">Drywall!C5</f>
        <v>83</v>
      </c>
      <c r="D11" s="5" t="s">
        <v>101</v>
      </c>
      <c r="E11" s="11" t="n">
        <v>22.5</v>
      </c>
      <c r="F11" s="12" t="n">
        <f aca="false">IF(E11="","",C11*E11)</f>
        <v>1867.5</v>
      </c>
      <c r="G11" s="13" t="s">
        <v>151</v>
      </c>
      <c r="H11" s="7" t="s">
        <v>160</v>
      </c>
    </row>
    <row r="12" customFormat="false" ht="15" hidden="false" customHeight="false" outlineLevel="0" collapsed="false">
      <c r="A12" s="5" t="s">
        <v>157</v>
      </c>
      <c r="B12" s="5" t="s">
        <v>161</v>
      </c>
      <c r="C12" s="10" t="n">
        <f aca="false">Drywall!C6</f>
        <v>612</v>
      </c>
      <c r="D12" s="5" t="s">
        <v>8</v>
      </c>
      <c r="E12" s="11"/>
      <c r="F12" s="12" t="str">
        <f aca="false">IF(E12="","",C12*E12)</f>
        <v/>
      </c>
      <c r="G12" s="7" t="s">
        <v>149</v>
      </c>
      <c r="H12" s="7"/>
    </row>
    <row r="13" customFormat="false" ht="15" hidden="false" customHeight="false" outlineLevel="0" collapsed="false">
      <c r="A13" s="5" t="s">
        <v>157</v>
      </c>
      <c r="B13" s="5" t="s">
        <v>162</v>
      </c>
      <c r="C13" s="10" t="n">
        <f aca="false">Drywall!C7</f>
        <v>45</v>
      </c>
      <c r="D13" s="5" t="s">
        <v>101</v>
      </c>
      <c r="E13" s="11" t="n">
        <v>20</v>
      </c>
      <c r="F13" s="12" t="n">
        <f aca="false">IF(E13="","",C13*E13)</f>
        <v>900</v>
      </c>
      <c r="G13" s="13" t="s">
        <v>151</v>
      </c>
      <c r="H13" s="7" t="s">
        <v>163</v>
      </c>
    </row>
    <row r="14" customFormat="false" ht="15" hidden="false" customHeight="false" outlineLevel="0" collapsed="false">
      <c r="A14" s="5" t="s">
        <v>164</v>
      </c>
      <c r="B14" s="5" t="s">
        <v>165</v>
      </c>
      <c r="C14" s="10" t="n">
        <f aca="false">'Floor Tile'!D9</f>
        <v>3014</v>
      </c>
      <c r="D14" s="5" t="s">
        <v>8</v>
      </c>
      <c r="E14" s="11" t="n">
        <v>15.66</v>
      </c>
      <c r="F14" s="12" t="n">
        <f aca="false">IF(E14="","",C14*E14)</f>
        <v>47199.24</v>
      </c>
      <c r="G14" s="13" t="s">
        <v>151</v>
      </c>
      <c r="H14" s="7" t="s">
        <v>166</v>
      </c>
    </row>
    <row r="15" customFormat="false" ht="15" hidden="false" customHeight="false" outlineLevel="0" collapsed="false">
      <c r="A15" s="5" t="s">
        <v>167</v>
      </c>
      <c r="B15" s="5" t="s">
        <v>168</v>
      </c>
      <c r="C15" s="10" t="n">
        <f aca="false">Ceiling!C11</f>
        <v>2280</v>
      </c>
      <c r="D15" s="5" t="s">
        <v>8</v>
      </c>
      <c r="E15" s="11"/>
      <c r="F15" s="12" t="str">
        <f aca="false">IF(E15="","",C15*E15)</f>
        <v/>
      </c>
      <c r="G15" s="7" t="s">
        <v>149</v>
      </c>
      <c r="H15" s="7"/>
    </row>
    <row r="16" customFormat="false" ht="15" hidden="false" customHeight="false" outlineLevel="0" collapsed="false">
      <c r="A16" s="5" t="s">
        <v>167</v>
      </c>
      <c r="B16" s="5" t="s">
        <v>169</v>
      </c>
      <c r="C16" s="10" t="n">
        <f aca="false">Ceiling!C15</f>
        <v>314</v>
      </c>
      <c r="D16" s="5" t="s">
        <v>124</v>
      </c>
      <c r="E16" s="11" t="n">
        <v>15</v>
      </c>
      <c r="F16" s="12" t="n">
        <f aca="false">IF(E16="","",C16*E16)</f>
        <v>4710</v>
      </c>
      <c r="G16" s="13" t="s">
        <v>151</v>
      </c>
      <c r="H16" s="7" t="s">
        <v>170</v>
      </c>
    </row>
    <row r="17" customFormat="false" ht="15" hidden="false" customHeight="false" outlineLevel="0" collapsed="false">
      <c r="A17" s="5" t="s">
        <v>167</v>
      </c>
      <c r="B17" s="5" t="s">
        <v>171</v>
      </c>
      <c r="C17" s="10" t="n">
        <f aca="false">Ceiling!C16</f>
        <v>570</v>
      </c>
      <c r="D17" s="5" t="s">
        <v>83</v>
      </c>
      <c r="E17" s="11" t="n">
        <v>0.85</v>
      </c>
      <c r="F17" s="12" t="n">
        <f aca="false">IF(E17="","",C17*E17)</f>
        <v>484.5</v>
      </c>
      <c r="G17" s="13" t="s">
        <v>151</v>
      </c>
      <c r="H17" s="7" t="s">
        <v>172</v>
      </c>
    </row>
    <row r="18" customFormat="false" ht="15" hidden="false" customHeight="false" outlineLevel="0" collapsed="false">
      <c r="A18" s="5" t="s">
        <v>167</v>
      </c>
      <c r="B18" s="5" t="s">
        <v>128</v>
      </c>
      <c r="C18" s="10" t="n">
        <f aca="false">Ceiling!C17</f>
        <v>1140</v>
      </c>
      <c r="D18" s="5" t="s">
        <v>83</v>
      </c>
      <c r="E18" s="11" t="n">
        <v>1</v>
      </c>
      <c r="F18" s="12" t="n">
        <f aca="false">IF(E18="","",C18*E18)</f>
        <v>1140</v>
      </c>
      <c r="G18" s="13" t="s">
        <v>151</v>
      </c>
      <c r="H18" s="7" t="s">
        <v>173</v>
      </c>
    </row>
    <row r="19" customFormat="false" ht="15" hidden="false" customHeight="false" outlineLevel="0" collapsed="false">
      <c r="A19" s="5" t="s">
        <v>167</v>
      </c>
      <c r="B19" s="5" t="s">
        <v>130</v>
      </c>
      <c r="C19" s="10" t="n">
        <f aca="false">Ceiling!C18</f>
        <v>570</v>
      </c>
      <c r="D19" s="5" t="s">
        <v>83</v>
      </c>
      <c r="E19" s="11" t="n">
        <v>1.25</v>
      </c>
      <c r="F19" s="12" t="n">
        <f aca="false">IF(E19="","",C19*E19)</f>
        <v>712.5</v>
      </c>
      <c r="G19" s="13" t="s">
        <v>151</v>
      </c>
      <c r="H19" s="7" t="s">
        <v>174</v>
      </c>
    </row>
    <row r="20" customFormat="false" ht="15" hidden="false" customHeight="false" outlineLevel="0" collapsed="false">
      <c r="A20" s="5" t="s">
        <v>167</v>
      </c>
      <c r="B20" s="5" t="s">
        <v>175</v>
      </c>
      <c r="C20" s="10" t="n">
        <f aca="false">Ceiling!C20</f>
        <v>572</v>
      </c>
      <c r="D20" s="5" t="s">
        <v>83</v>
      </c>
      <c r="E20" s="11" t="n">
        <v>0.12</v>
      </c>
      <c r="F20" s="12" t="n">
        <f aca="false">IF(E20="","",C20*E20)</f>
        <v>68.64</v>
      </c>
      <c r="G20" s="13" t="s">
        <v>151</v>
      </c>
      <c r="H20" s="7" t="s">
        <v>176</v>
      </c>
    </row>
    <row r="21" customFormat="false" ht="15" hidden="false" customHeight="false" outlineLevel="0" collapsed="false">
      <c r="A21" s="5" t="s">
        <v>167</v>
      </c>
      <c r="B21" s="5" t="s">
        <v>177</v>
      </c>
      <c r="C21" s="10" t="n">
        <f aca="false">Ceiling!C23</f>
        <v>660</v>
      </c>
      <c r="D21" s="5" t="s">
        <v>8</v>
      </c>
      <c r="E21" s="11" t="n">
        <v>3.44</v>
      </c>
      <c r="F21" s="12" t="n">
        <f aca="false">IF(E21="","",C21*E21)</f>
        <v>2270.4</v>
      </c>
      <c r="G21" s="13" t="s">
        <v>151</v>
      </c>
      <c r="H21" s="7" t="s">
        <v>178</v>
      </c>
    </row>
    <row r="23" customFormat="false" ht="15" hidden="false" customHeight="false" outlineLevel="0" collapsed="false">
      <c r="A23" s="14" t="s">
        <v>179</v>
      </c>
      <c r="B23" s="14"/>
      <c r="C23" s="14"/>
      <c r="D23" s="14"/>
      <c r="E23" s="14"/>
      <c r="F23" s="15" t="n">
        <f aca="false">SUM(F6:F21)</f>
        <v>60737.78</v>
      </c>
      <c r="G23" s="9"/>
      <c r="H23" s="9"/>
    </row>
    <row r="25" customFormat="false" ht="27.75" hidden="false" customHeight="true" outlineLevel="0" collapsed="false">
      <c r="A25" s="2" t="s">
        <v>180</v>
      </c>
      <c r="B25" s="2"/>
      <c r="C25" s="2"/>
      <c r="D25" s="2"/>
      <c r="E25" s="2"/>
      <c r="F25" s="2"/>
      <c r="G25" s="2"/>
      <c r="H25" s="2"/>
    </row>
  </sheetData>
  <mergeCells count="4">
    <mergeCell ref="A1:D1"/>
    <mergeCell ref="A3:H3"/>
    <mergeCell ref="A23:E23"/>
    <mergeCell ref="A25:H25"/>
  </mergeCells>
  <hyperlinks>
    <hyperlink ref="G7" r:id="rId1" display="View product / search"/>
    <hyperlink ref="G8" r:id="rId2" display="View product / search"/>
    <hyperlink ref="G9" r:id="rId3" display="View product / search"/>
    <hyperlink ref="G11" r:id="rId4" display="View product / search"/>
    <hyperlink ref="G13" r:id="rId5" display="View product / search"/>
    <hyperlink ref="G14" r:id="rId6" display="View product / search"/>
    <hyperlink ref="G16" r:id="rId7" display="View product / search"/>
    <hyperlink ref="G17" r:id="rId8" display="View product / search"/>
    <hyperlink ref="G18" r:id="rId9" display="View product / search"/>
    <hyperlink ref="G19" r:id="rId10" display="View product / search"/>
    <hyperlink ref="G20" r:id="rId11" display="View product / search"/>
    <hyperlink ref="G21" r:id="rId12" display="View product / sear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2026-07-25T18:27:47Z</dcterms:created>
  <dc:creator>openpyxl</dc:creator>
  <dc:description/>
  <dc:language>en-US</dc:language>
  <cp:lastModifiedBy/>
  <dcterms:modified xsi:type="dcterms:W3CDTF">2026-07-25T18:27:47Z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